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 Log &amp; Summary" sheetId="1" r:id="rId5"/>
  </sheets>
  <definedNames/>
  <calcPr/>
</workbook>
</file>

<file path=xl/sharedStrings.xml><?xml version="1.0" encoding="utf-8"?>
<sst xmlns="http://schemas.openxmlformats.org/spreadsheetml/2006/main" count="108" uniqueCount="108">
  <si>
    <t>20/50 EMA CROSSOVER STRATEGY BACKTEST LOG</t>
  </si>
  <si>
    <t>TOTAL TRADES</t>
  </si>
  <si>
    <t>WINNERS</t>
  </si>
  <si>
    <t>WIN RATE</t>
  </si>
  <si>
    <t>LARGEST WINNER</t>
  </si>
  <si>
    <t>LARGEST LOSER</t>
  </si>
  <si>
    <t>Trade #</t>
  </si>
  <si>
    <t>Entry Date &amp; Time</t>
  </si>
  <si>
    <t>Entry Price (INR)</t>
  </si>
  <si>
    <t>Exit Date &amp; Time</t>
  </si>
  <si>
    <t>Exit Price (INR)</t>
  </si>
  <si>
    <t>Net PnL (INR)</t>
  </si>
  <si>
    <t>Profit / Loss (%)</t>
  </si>
  <si>
    <t>Aug 17, 2026, 06:33</t>
  </si>
  <si>
    <t>Aug 17, 2026, 08:47</t>
  </si>
  <si>
    <t>Aug 18, 2026, 07:07</t>
  </si>
  <si>
    <t>Aug 18, 2026, 07:29</t>
  </si>
  <si>
    <t>Aug 18, 2026, 07:49</t>
  </si>
  <si>
    <t>Aug 18, 2026, 08:43</t>
  </si>
  <si>
    <t>Aug 18, 2026, 09:07</t>
  </si>
  <si>
    <t>Aug 18, 2026, 09:27</t>
  </si>
  <si>
    <t>Aug 19, 2026, 03:46</t>
  </si>
  <si>
    <t>Aug 19, 2026, 04:38</t>
  </si>
  <si>
    <t>Aug 19, 2026, 05:57</t>
  </si>
  <si>
    <t>Aug 19, 2026, 06:34</t>
  </si>
  <si>
    <t>Aug 19, 2026, 06:47</t>
  </si>
  <si>
    <t>Aug 19, 2026, 07:03</t>
  </si>
  <si>
    <t>Aug 19, 2026, 07:49</t>
  </si>
  <si>
    <t>Aug 19, 2026, 08:14</t>
  </si>
  <si>
    <t>Aug 19, 2026, 08:43</t>
  </si>
  <si>
    <t>Aug 19, 2026, 08:50</t>
  </si>
  <si>
    <t>Aug 20, 2026, 03:46</t>
  </si>
  <si>
    <t>Aug 20, 2026, 05:08</t>
  </si>
  <si>
    <t>Aug 20, 2026, 05:20</t>
  </si>
  <si>
    <t>Aug 20, 2026, 05:35</t>
  </si>
  <si>
    <t>Aug 20, 2026, 07:05</t>
  </si>
  <si>
    <t>Aug 20, 2026, 07:08</t>
  </si>
  <si>
    <t>Aug 20, 2026, 07:24</t>
  </si>
  <si>
    <t>Aug 20, 2026, 08:34</t>
  </si>
  <si>
    <t>Aug 21, 2026, 04:27</t>
  </si>
  <si>
    <t>Aug 21, 2026, 07:02</t>
  </si>
  <si>
    <t>Aug 21, 2026, 07:09</t>
  </si>
  <si>
    <t>Aug 21, 2026, 07:13</t>
  </si>
  <si>
    <t>Aug 24, 2026, 03:48</t>
  </si>
  <si>
    <t>Aug 24, 2026, 05:32</t>
  </si>
  <si>
    <t>Aug 24, 2026, 05:49</t>
  </si>
  <si>
    <t>Aug 24, 2026, 06:10</t>
  </si>
  <si>
    <t>Aug 24, 2026, 06:48</t>
  </si>
  <si>
    <t>Aug 24, 2026, 08:01</t>
  </si>
  <si>
    <t>Aug 24, 2026, 09:44</t>
  </si>
  <si>
    <t>Aug 25, 2026, 04:12</t>
  </si>
  <si>
    <t>Aug 25, 2026, 04:39</t>
  </si>
  <si>
    <t>Aug 25, 2026, 05:33</t>
  </si>
  <si>
    <t>Aug 25, 2026, 06:11</t>
  </si>
  <si>
    <t>Aug 25, 2026, 06:54</t>
  </si>
  <si>
    <t>Aug 25, 2026, 08:26</t>
  </si>
  <si>
    <t>Aug 25, 2026, 08:51</t>
  </si>
  <si>
    <t>Aug 25, 2026, 08:57</t>
  </si>
  <si>
    <t>Aug 26, 2026, 04:27</t>
  </si>
  <si>
    <t>Aug 26, 2026, 08:39</t>
  </si>
  <si>
    <t>Aug 27, 2026, 03:57</t>
  </si>
  <si>
    <t>Aug 27, 2026, 07:11</t>
  </si>
  <si>
    <t>Aug 27, 2026, 08:03</t>
  </si>
  <si>
    <t>Aug 27, 2026, 08:10</t>
  </si>
  <si>
    <t>Aug 27, 2026, 08:22</t>
  </si>
  <si>
    <t>Aug 27, 2026, 09:44</t>
  </si>
  <si>
    <t>Aug 28, 2026, 06:02</t>
  </si>
  <si>
    <t>Aug 28, 2026, 07:11</t>
  </si>
  <si>
    <t>Aug 28, 2026, 07:56</t>
  </si>
  <si>
    <t>Aug 28, 2026, 08:34</t>
  </si>
  <si>
    <t>Aug 28, 2026, 08:37</t>
  </si>
  <si>
    <t>Aug 28, 2026, 09:39</t>
  </si>
  <si>
    <t>Aug 31, 2026, 03:47</t>
  </si>
  <si>
    <t>Aug 31, 2026, 05:24</t>
  </si>
  <si>
    <t>Aug 31, 2026, 05:33</t>
  </si>
  <si>
    <t>Aug 31, 2026, 05:49</t>
  </si>
  <si>
    <t>Aug 31, 2026, 08:29</t>
  </si>
  <si>
    <t>Aug 31, 2026, 08:47</t>
  </si>
  <si>
    <t>Sep 1, 2026, 06:06</t>
  </si>
  <si>
    <t>Sep 1, 2026, 06:17</t>
  </si>
  <si>
    <t>Sep 1, 2026, 07:46</t>
  </si>
  <si>
    <t>Sep 1, 2026, 07:55</t>
  </si>
  <si>
    <t>Sep 1, 2026, 08:27</t>
  </si>
  <si>
    <t>Sep 1, 2026, 09:43</t>
  </si>
  <si>
    <t>Sep 2, 2026, 03:46</t>
  </si>
  <si>
    <t>Sep 2, 2026, 04:17</t>
  </si>
  <si>
    <t>Sep 2, 2026, 05:11</t>
  </si>
  <si>
    <t>Sep 2, 2026, 05:31</t>
  </si>
  <si>
    <t>Sep 2, 2026, 05:34</t>
  </si>
  <si>
    <t>Sep 2, 2026, 07:06</t>
  </si>
  <si>
    <t>Sep 2, 2026, 07:10</t>
  </si>
  <si>
    <t>Sep 2, 2026, 08:39</t>
  </si>
  <si>
    <t>Sep 2, 2026, 08:52</t>
  </si>
  <si>
    <t>Sep 2, 2026, 09:03</t>
  </si>
  <si>
    <t>Sep 2, 2026, 09:19</t>
  </si>
  <si>
    <t>Sep 3, 2026, 03:46</t>
  </si>
  <si>
    <t>Sep 3, 2026, 03:47</t>
  </si>
  <si>
    <t>Sep 3, 2026, 03:49</t>
  </si>
  <si>
    <t>Sep 3, 2026, 03:55</t>
  </si>
  <si>
    <t>Sep 3, 2026, 04:59</t>
  </si>
  <si>
    <t>Sep 3, 2026, 05:25</t>
  </si>
  <si>
    <t>Sep 3, 2026, 05:55</t>
  </si>
  <si>
    <t>Sep 3, 2026, 06:47</t>
  </si>
  <si>
    <t>Sep 3, 2026, 07:16</t>
  </si>
  <si>
    <t>Sep 3, 2026, 08:12</t>
  </si>
  <si>
    <t>Sep 3, 2026, 08:44</t>
  </si>
  <si>
    <t>Sep 3, 2026, 09:35</t>
  </si>
  <si>
    <t>Total / Overall 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</si>
</sst>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+0.00%;-0.00%;0.00%"/>
    <numFmt numFmtId="166" formatCode="₹#,##0.0"/>
    <numFmt numFmtId="167" formatCode="+₹#,##0.0;-₹#,##0.0;₹0.0"/>
  </numFmts>
  <fonts count="9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0.0"/>
      <color rgb="FF5A6A80"/>
      <name val="Calibri"/>
    </font>
    <font>
      <b/>
      <sz val="9.0"/>
      <color rgb="FF5A6A80"/>
      <name val="Calibri"/>
    </font>
    <font/>
    <font>
      <b/>
      <sz val="14.0"/>
      <color rgb="FF1B365D"/>
      <name val="Calibri"/>
    </font>
    <font>
      <b/>
      <sz val="11.0"/>
      <color rgb="FFFFFFFF"/>
      <name val="Calibri"/>
    </font>
    <font>
      <sz val="10.0"/>
      <color rgb="FF212529"/>
      <name val="Calibri"/>
    </font>
    <font>
      <b/>
      <sz val="10.0"/>
      <color rgb="FF21252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8EEF5"/>
        <bgColor rgb="FFE8EEF5"/>
      </patternFill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D0D5DD"/>
      </left>
      <top style="thin">
        <color rgb="FFD0D5DD"/>
      </top>
      <bottom style="thin">
        <color rgb="FFD0D5DD"/>
      </bottom>
    </border>
    <border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top style="thin">
        <color rgb="FFD0D5DD"/>
      </top>
      <bottom style="double">
        <color rgb="FF1B365D"/>
      </bottom>
    </border>
    <border>
      <top style="thin">
        <color rgb="FFD0D5DD"/>
      </top>
      <bottom style="double">
        <color rgb="FF1B365D"/>
      </bottom>
    </border>
    <border>
      <right style="thin">
        <color rgb="FFD0D5DD"/>
      </right>
      <top style="thin">
        <color rgb="FFD0D5DD"/>
      </top>
      <bottom style="double">
        <color rgb="FF1B365D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double">
        <color rgb="FF1B365D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2" fontId="5" numFmtId="1" xfId="0" applyAlignment="1" applyBorder="1" applyFill="1" applyFont="1" applyNumberFormat="1">
      <alignment horizontal="center" vertical="center"/>
    </xf>
    <xf borderId="1" fillId="2" fontId="5" numFmtId="164" xfId="0" applyAlignment="1" applyBorder="1" applyFill="1" applyFont="1" applyNumberFormat="1">
      <alignment horizontal="center" vertical="center"/>
    </xf>
    <xf borderId="1" fillId="2" fontId="5" numFmtId="165" xfId="0" applyAlignment="1" applyBorder="1" applyFill="1" applyFont="1" applyNumberFormat="1">
      <alignment horizontal="center" vertical="center"/>
    </xf>
    <xf borderId="3" fillId="3" fontId="6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vertical="center"/>
    </xf>
    <xf borderId="3" fillId="0" fontId="7" numFmtId="166" xfId="0" applyAlignment="1" applyBorder="1" applyFont="1" applyNumberFormat="1">
      <alignment horizontal="right" vertical="center"/>
    </xf>
    <xf borderId="3" fillId="0" fontId="7" numFmtId="167" xfId="0" applyAlignment="1" applyBorder="1" applyFont="1" applyNumberFormat="1">
      <alignment horizontal="right" vertical="center"/>
    </xf>
    <xf borderId="3" fillId="0" fontId="7" numFmtId="165" xfId="0" applyAlignment="1" applyBorder="1" applyFont="1" applyNumberFormat="1">
      <alignment horizontal="right" vertical="center"/>
    </xf>
    <xf borderId="3" fillId="4" fontId="7" numFmtId="0" xfId="0" applyAlignment="1" applyBorder="1" applyFill="1" applyFont="1">
      <alignment horizontal="center" vertical="center"/>
    </xf>
    <xf borderId="3" fillId="4" fontId="7" numFmtId="166" xfId="0" applyAlignment="1" applyBorder="1" applyFill="1" applyFont="1" applyNumberFormat="1">
      <alignment horizontal="right" vertical="center"/>
    </xf>
    <xf borderId="3" fillId="4" fontId="7" numFmtId="167" xfId="0" applyAlignment="1" applyBorder="1" applyFill="1" applyFont="1" applyNumberFormat="1">
      <alignment horizontal="right" vertical="center"/>
    </xf>
    <xf borderId="3" fillId="4" fontId="7" numFmtId="165" xfId="0" applyAlignment="1" applyBorder="1" applyFill="1" applyFont="1" applyNumberFormat="1">
      <alignment horizontal="right" vertical="center"/>
    </xf>
    <xf borderId="3" fillId="5" fontId="7" numFmtId="0" xfId="0" applyAlignment="1" applyBorder="1" applyFill="1" applyFont="1">
      <alignment horizontal="center" vertical="center"/>
    </xf>
    <xf borderId="3" fillId="5" fontId="7" numFmtId="166" xfId="0" applyAlignment="1" applyBorder="1" applyFill="1" applyFont="1" applyNumberFormat="1">
      <alignment horizontal="right" vertical="center"/>
    </xf>
    <xf borderId="3" fillId="5" fontId="7" numFmtId="167" xfId="0" applyAlignment="1" applyBorder="1" applyFill="1" applyFont="1" applyNumberFormat="1">
      <alignment horizontal="right" vertical="center"/>
    </xf>
    <xf borderId="3" fillId="5" fontId="7" numFmtId="165" xfId="0" applyAlignment="1" applyBorder="1" applyFill="1" applyFont="1" applyNumberFormat="1">
      <alignment horizontal="right" vertical="center"/>
    </xf>
    <xf borderId="3" fillId="6" fontId="7" numFmtId="0" xfId="0" applyAlignment="1" applyBorder="1" applyFill="1" applyFont="1">
      <alignment horizontal="center" vertical="center"/>
    </xf>
    <xf borderId="3" fillId="6" fontId="7" numFmtId="166" xfId="0" applyAlignment="1" applyBorder="1" applyFill="1" applyFont="1" applyNumberFormat="1">
      <alignment horizontal="right" vertical="center"/>
    </xf>
    <xf borderId="3" fillId="6" fontId="7" numFmtId="167" xfId="0" applyAlignment="1" applyBorder="1" applyFill="1" applyFont="1" applyNumberFormat="1">
      <alignment horizontal="right" vertical="center"/>
    </xf>
    <xf borderId="3" fillId="6" fontId="7" numFmtId="165" xfId="0" applyAlignment="1" applyBorder="1" applyFill="1" applyFont="1" applyNumberFormat="1">
      <alignment horizontal="right" vertical="center"/>
    </xf>
    <xf borderId="4" fillId="2" fontId="8" numFmtId="0" xfId="0" applyAlignment="1" applyBorder="1" applyFill="1" applyFont="1">
      <alignment horizontal="right" vertical="center"/>
    </xf>
    <xf borderId="5" fillId="0" fontId="4" numFmtId="0" xfId="0" applyBorder="1" applyFont="1"/>
    <xf borderId="6" fillId="0" fontId="4" numFmtId="0" xfId="0" applyBorder="1" applyFont="1"/>
    <xf borderId="7" fillId="2" fontId="8" numFmtId="167" xfId="0" applyAlignment="1" applyBorder="1" applyFill="1" applyFont="1" applyNumberFormat="1">
      <alignment horizontal="right" vertical="center"/>
    </xf>
    <xf borderId="7" fillId="2" fontId="8" numFmtId="165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22.0"/>
    <col customWidth="1" min="4" max="4" width="18.0"/>
    <col customWidth="1" min="5" max="5" width="22.0"/>
    <col customWidth="1" min="6" max="8" width="18.0"/>
    <col customWidth="1" min="9" max="9" width="12.0"/>
    <col customWidth="1" min="10" max="11" width="14.0"/>
    <col customWidth="1" min="12" max="26" width="8.71"/>
  </cols>
  <sheetData>
    <row r="2">
      <c r="B2" s="1" t="s">
        <v>0</v>
      </c>
    </row>
    <row r="3">
      <c r="B3" s="2"/>
    </row>
    <row r="5">
      <c r="B5" s="3" t="s">
        <v>1</v>
      </c>
      <c r="C5" s="4"/>
      <c r="D5" s="3" t="s">
        <v>2</v>
      </c>
      <c r="E5" s="4"/>
      <c r="F5" s="3" t="s">
        <v>3</v>
      </c>
      <c r="G5" s="4"/>
      <c r="H5" s="3" t="s">
        <v>4</v>
      </c>
      <c r="I5" s="4"/>
      <c r="J5" s="3" t="s">
        <v>5</v>
      </c>
      <c r="K5" s="4"/>
    </row>
    <row r="6">
      <c r="B6" s="5">
        <f>COUNTA(B11:B57)</f>
        <v>47</v>
      </c>
      <c r="C6" s="4"/>
      <c r="D6" s="5">
        <f>COUNTIF(H11:H57, "&gt;0")</f>
        <v>10</v>
      </c>
      <c r="E6" s="4"/>
      <c r="F6" s="6">
        <f>COUNTIF(H11:H57, "&gt;0")/COUNTA(B11:B57)</f>
        <v>0.2127659574</v>
      </c>
      <c r="G6" s="4"/>
      <c r="H6" s="7">
        <f>MAX(H11:H57)</f>
        <v>0.02665466006</v>
      </c>
      <c r="I6" s="4"/>
      <c r="J6" s="7">
        <f>MIN(H11:H57)</f>
        <v>-0.01334738321</v>
      </c>
      <c r="K6" s="4"/>
    </row>
    <row r="10" ht="27.75" customHeight="1">
      <c r="B10" s="8" t="s">
        <v>6</v>
      </c>
      <c r="C10" s="8" t="s">
        <v>7</v>
      </c>
      <c r="D10" s="8" t="s">
        <v>8</v>
      </c>
      <c r="E10" s="8" t="s">
        <v>9</v>
      </c>
      <c r="F10" s="8" t="s">
        <v>10</v>
      </c>
      <c r="G10" s="8" t="s">
        <v>11</v>
      </c>
      <c r="H10" s="8" t="s">
        <v>12</v>
      </c>
    </row>
    <row r="11" ht="19.5" customHeight="1">
      <c r="B11" s="9">
        <v>1.0</v>
      </c>
      <c r="C11" s="9" t="s">
        <v>13</v>
      </c>
      <c r="D11" s="10">
        <v>1142.0</v>
      </c>
      <c r="E11" s="9" t="s">
        <v>14</v>
      </c>
      <c r="F11" s="10">
        <v>1144.0</v>
      </c>
      <c r="G11" s="11">
        <v>174.0</v>
      </c>
      <c r="H11" s="12">
        <f t="shared" ref="H11:H57" si="1">(F11-D11)/D11</f>
        <v>0.001751313485</v>
      </c>
    </row>
    <row r="12" ht="19.5" customHeight="1">
      <c r="B12" s="13">
        <v>2.0</v>
      </c>
      <c r="C12" s="13" t="s">
        <v>15</v>
      </c>
      <c r="D12" s="14">
        <v>1116.5</v>
      </c>
      <c r="E12" s="13" t="s">
        <v>16</v>
      </c>
      <c r="F12" s="14">
        <v>1114.3</v>
      </c>
      <c r="G12" s="15">
        <v>-195.8</v>
      </c>
      <c r="H12" s="16">
        <f t="shared" si="1"/>
        <v>-0.00197044335</v>
      </c>
    </row>
    <row r="13" ht="19.5" customHeight="1">
      <c r="B13" s="9">
        <v>3.0</v>
      </c>
      <c r="C13" s="9" t="s">
        <v>17</v>
      </c>
      <c r="D13" s="10">
        <v>1116.0</v>
      </c>
      <c r="E13" s="9" t="s">
        <v>18</v>
      </c>
      <c r="F13" s="10">
        <v>1115.6</v>
      </c>
      <c r="G13" s="11">
        <v>-35.6</v>
      </c>
      <c r="H13" s="12">
        <f t="shared" si="1"/>
        <v>-0.0003584229391</v>
      </c>
    </row>
    <row r="14" ht="19.5" customHeight="1">
      <c r="B14" s="13">
        <v>4.0</v>
      </c>
      <c r="C14" s="13" t="s">
        <v>19</v>
      </c>
      <c r="D14" s="14">
        <v>1117.9</v>
      </c>
      <c r="E14" s="13" t="s">
        <v>20</v>
      </c>
      <c r="F14" s="14">
        <v>1115.2</v>
      </c>
      <c r="G14" s="15">
        <v>-240.3</v>
      </c>
      <c r="H14" s="16">
        <f t="shared" si="1"/>
        <v>-0.002415242866</v>
      </c>
    </row>
    <row r="15" ht="19.5" customHeight="1">
      <c r="B15" s="9">
        <v>5.0</v>
      </c>
      <c r="C15" s="9" t="s">
        <v>21</v>
      </c>
      <c r="D15" s="10">
        <v>1133.8</v>
      </c>
      <c r="E15" s="9" t="s">
        <v>22</v>
      </c>
      <c r="F15" s="10">
        <v>1121.9</v>
      </c>
      <c r="G15" s="11">
        <v>-1035.3</v>
      </c>
      <c r="H15" s="12">
        <f t="shared" si="1"/>
        <v>-0.01049567825</v>
      </c>
    </row>
    <row r="16" ht="19.5" customHeight="1">
      <c r="B16" s="13">
        <v>6.0</v>
      </c>
      <c r="C16" s="13" t="s">
        <v>23</v>
      </c>
      <c r="D16" s="14">
        <v>1119.7</v>
      </c>
      <c r="E16" s="13" t="s">
        <v>24</v>
      </c>
      <c r="F16" s="14">
        <v>1118.4</v>
      </c>
      <c r="G16" s="15">
        <v>-114.4</v>
      </c>
      <c r="H16" s="16">
        <f t="shared" si="1"/>
        <v>-0.001161025275</v>
      </c>
    </row>
    <row r="17" ht="19.5" customHeight="1">
      <c r="B17" s="9">
        <v>7.0</v>
      </c>
      <c r="C17" s="9" t="s">
        <v>25</v>
      </c>
      <c r="D17" s="10">
        <v>1122.1</v>
      </c>
      <c r="E17" s="9" t="s">
        <v>26</v>
      </c>
      <c r="F17" s="10">
        <v>1119.4</v>
      </c>
      <c r="G17" s="11">
        <v>-234.9</v>
      </c>
      <c r="H17" s="12">
        <f t="shared" si="1"/>
        <v>-0.002406202656</v>
      </c>
    </row>
    <row r="18" ht="19.5" customHeight="1">
      <c r="B18" s="13">
        <v>8.0</v>
      </c>
      <c r="C18" s="13" t="s">
        <v>27</v>
      </c>
      <c r="D18" s="14">
        <v>1120.2</v>
      </c>
      <c r="E18" s="13" t="s">
        <v>28</v>
      </c>
      <c r="F18" s="14">
        <v>1118.7</v>
      </c>
      <c r="G18" s="15">
        <v>-130.5</v>
      </c>
      <c r="H18" s="16">
        <f t="shared" si="1"/>
        <v>-0.001339046599</v>
      </c>
    </row>
    <row r="19" ht="19.5" customHeight="1">
      <c r="B19" s="9">
        <v>9.0</v>
      </c>
      <c r="C19" s="9" t="s">
        <v>29</v>
      </c>
      <c r="D19" s="10">
        <v>1122.0</v>
      </c>
      <c r="E19" s="9" t="s">
        <v>30</v>
      </c>
      <c r="F19" s="10">
        <v>1118.2</v>
      </c>
      <c r="G19" s="11">
        <v>-330.6</v>
      </c>
      <c r="H19" s="12">
        <f t="shared" si="1"/>
        <v>-0.003386809269</v>
      </c>
    </row>
    <row r="20" ht="19.5" customHeight="1">
      <c r="B20" s="13">
        <v>10.0</v>
      </c>
      <c r="C20" s="13" t="s">
        <v>31</v>
      </c>
      <c r="D20" s="14">
        <v>1138.9</v>
      </c>
      <c r="E20" s="13" t="s">
        <v>32</v>
      </c>
      <c r="F20" s="14">
        <v>1136.9</v>
      </c>
      <c r="G20" s="15">
        <v>-170.0</v>
      </c>
      <c r="H20" s="16">
        <f t="shared" si="1"/>
        <v>-0.001756080428</v>
      </c>
    </row>
    <row r="21" ht="19.5" customHeight="1">
      <c r="B21" s="9">
        <v>11.0</v>
      </c>
      <c r="C21" s="9" t="s">
        <v>33</v>
      </c>
      <c r="D21" s="10">
        <v>1139.4</v>
      </c>
      <c r="E21" s="9" t="s">
        <v>34</v>
      </c>
      <c r="F21" s="10">
        <v>1135.6</v>
      </c>
      <c r="G21" s="11">
        <v>-323.0</v>
      </c>
      <c r="H21" s="12">
        <f t="shared" si="1"/>
        <v>-0.003335088643</v>
      </c>
    </row>
    <row r="22" ht="19.5" customHeight="1">
      <c r="B22" s="13">
        <v>12.0</v>
      </c>
      <c r="C22" s="13" t="s">
        <v>35</v>
      </c>
      <c r="D22" s="14">
        <v>1130.8</v>
      </c>
      <c r="E22" s="13" t="s">
        <v>36</v>
      </c>
      <c r="F22" s="14">
        <v>1130.2</v>
      </c>
      <c r="G22" s="15">
        <v>-51.6</v>
      </c>
      <c r="H22" s="16">
        <f t="shared" si="1"/>
        <v>-0.0005305978069</v>
      </c>
    </row>
    <row r="23" ht="19.5" customHeight="1">
      <c r="B23" s="9">
        <v>13.0</v>
      </c>
      <c r="C23" s="9" t="s">
        <v>37</v>
      </c>
      <c r="D23" s="10">
        <v>1132.0</v>
      </c>
      <c r="E23" s="9" t="s">
        <v>38</v>
      </c>
      <c r="F23" s="10">
        <v>1133.6</v>
      </c>
      <c r="G23" s="11">
        <v>136.0</v>
      </c>
      <c r="H23" s="12">
        <f t="shared" si="1"/>
        <v>0.001413427562</v>
      </c>
    </row>
    <row r="24" ht="19.5" customHeight="1">
      <c r="B24" s="13">
        <v>14.0</v>
      </c>
      <c r="C24" s="13" t="s">
        <v>39</v>
      </c>
      <c r="D24" s="14">
        <v>1129.0</v>
      </c>
      <c r="E24" s="13" t="s">
        <v>40</v>
      </c>
      <c r="F24" s="14">
        <v>1131.0</v>
      </c>
      <c r="G24" s="15">
        <v>172.0</v>
      </c>
      <c r="H24" s="16">
        <f t="shared" si="1"/>
        <v>0.001771479185</v>
      </c>
    </row>
    <row r="25" ht="19.5" customHeight="1">
      <c r="B25" s="9">
        <v>15.0</v>
      </c>
      <c r="C25" s="9" t="s">
        <v>41</v>
      </c>
      <c r="D25" s="10">
        <v>1131.9</v>
      </c>
      <c r="E25" s="9" t="s">
        <v>42</v>
      </c>
      <c r="F25" s="10">
        <v>1130.8</v>
      </c>
      <c r="G25" s="11">
        <v>-94.6</v>
      </c>
      <c r="H25" s="12">
        <f t="shared" si="1"/>
        <v>-0.0009718172983</v>
      </c>
    </row>
    <row r="26" ht="19.5" customHeight="1">
      <c r="B26" s="13">
        <v>16.0</v>
      </c>
      <c r="C26" s="13" t="s">
        <v>43</v>
      </c>
      <c r="D26" s="14">
        <v>1136.0</v>
      </c>
      <c r="E26" s="13" t="s">
        <v>44</v>
      </c>
      <c r="F26" s="14">
        <v>1135.0</v>
      </c>
      <c r="G26" s="15">
        <v>-85.0</v>
      </c>
      <c r="H26" s="16">
        <f t="shared" si="1"/>
        <v>-0.0008802816901</v>
      </c>
    </row>
    <row r="27" ht="19.5" customHeight="1">
      <c r="B27" s="9">
        <v>17.0</v>
      </c>
      <c r="C27" s="9" t="s">
        <v>45</v>
      </c>
      <c r="D27" s="10">
        <v>1138.2</v>
      </c>
      <c r="E27" s="9" t="s">
        <v>46</v>
      </c>
      <c r="F27" s="10">
        <v>1134.4</v>
      </c>
      <c r="G27" s="11">
        <v>-323.0</v>
      </c>
      <c r="H27" s="12">
        <f t="shared" si="1"/>
        <v>-0.003338604815</v>
      </c>
    </row>
    <row r="28" ht="19.5" customHeight="1">
      <c r="B28" s="13">
        <v>18.0</v>
      </c>
      <c r="C28" s="13" t="s">
        <v>47</v>
      </c>
      <c r="D28" s="14">
        <v>1135.8</v>
      </c>
      <c r="E28" s="13" t="s">
        <v>48</v>
      </c>
      <c r="F28" s="14">
        <v>1134.1</v>
      </c>
      <c r="G28" s="15">
        <v>-144.5</v>
      </c>
      <c r="H28" s="16">
        <f t="shared" si="1"/>
        <v>-0.001496742384</v>
      </c>
    </row>
    <row r="29" ht="19.5" customHeight="1">
      <c r="B29" s="9">
        <v>19.0</v>
      </c>
      <c r="C29" s="9" t="s">
        <v>49</v>
      </c>
      <c r="D29" s="10">
        <v>1129.0</v>
      </c>
      <c r="E29" s="9" t="s">
        <v>50</v>
      </c>
      <c r="F29" s="10">
        <v>1126.3</v>
      </c>
      <c r="G29" s="11">
        <v>-229.5</v>
      </c>
      <c r="H29" s="12">
        <f t="shared" si="1"/>
        <v>-0.0023914969</v>
      </c>
    </row>
    <row r="30" ht="19.5" customHeight="1">
      <c r="B30" s="13">
        <v>20.0</v>
      </c>
      <c r="C30" s="13" t="s">
        <v>51</v>
      </c>
      <c r="D30" s="14">
        <v>1128.2</v>
      </c>
      <c r="E30" s="13" t="s">
        <v>52</v>
      </c>
      <c r="F30" s="14">
        <v>1126.4</v>
      </c>
      <c r="G30" s="15">
        <v>-153.0</v>
      </c>
      <c r="H30" s="16">
        <f t="shared" si="1"/>
        <v>-0.001595461798</v>
      </c>
    </row>
    <row r="31" ht="19.5" customHeight="1">
      <c r="B31" s="9">
        <v>21.0</v>
      </c>
      <c r="C31" s="9" t="s">
        <v>53</v>
      </c>
      <c r="D31" s="10">
        <v>1127.6</v>
      </c>
      <c r="E31" s="9" t="s">
        <v>54</v>
      </c>
      <c r="F31" s="10">
        <v>1126.7</v>
      </c>
      <c r="G31" s="11">
        <v>-76.5</v>
      </c>
      <c r="H31" s="12">
        <f t="shared" si="1"/>
        <v>-0.0007981553742</v>
      </c>
    </row>
    <row r="32" ht="19.5" customHeight="1">
      <c r="B32" s="13">
        <v>22.0</v>
      </c>
      <c r="C32" s="13" t="s">
        <v>55</v>
      </c>
      <c r="D32" s="14">
        <v>1126.4</v>
      </c>
      <c r="E32" s="13" t="s">
        <v>56</v>
      </c>
      <c r="F32" s="14">
        <v>1123.0</v>
      </c>
      <c r="G32" s="15">
        <v>-289.0</v>
      </c>
      <c r="H32" s="16">
        <f t="shared" si="1"/>
        <v>-0.003018465909</v>
      </c>
    </row>
    <row r="33" ht="19.5" customHeight="1">
      <c r="B33" s="9">
        <v>23.0</v>
      </c>
      <c r="C33" s="9" t="s">
        <v>57</v>
      </c>
      <c r="D33" s="10">
        <v>1124.4</v>
      </c>
      <c r="E33" s="9" t="s">
        <v>58</v>
      </c>
      <c r="F33" s="10">
        <v>1130.3</v>
      </c>
      <c r="G33" s="11">
        <v>501.5</v>
      </c>
      <c r="H33" s="12">
        <f t="shared" si="1"/>
        <v>0.005247242974</v>
      </c>
    </row>
    <row r="34" ht="19.5" customHeight="1">
      <c r="B34" s="13">
        <v>24.0</v>
      </c>
      <c r="C34" s="13" t="s">
        <v>59</v>
      </c>
      <c r="D34" s="14">
        <v>1120.3</v>
      </c>
      <c r="E34" s="13" t="s">
        <v>60</v>
      </c>
      <c r="F34" s="14">
        <v>1117.3</v>
      </c>
      <c r="G34" s="15">
        <v>-258.0</v>
      </c>
      <c r="H34" s="16">
        <f t="shared" si="1"/>
        <v>-0.002677854146</v>
      </c>
    </row>
    <row r="35" ht="19.5" customHeight="1">
      <c r="B35" s="9">
        <v>25.0</v>
      </c>
      <c r="C35" s="9" t="s">
        <v>61</v>
      </c>
      <c r="D35" s="10">
        <v>1111.4</v>
      </c>
      <c r="E35" s="9" t="s">
        <v>62</v>
      </c>
      <c r="F35" s="10">
        <v>1110.5</v>
      </c>
      <c r="G35" s="11">
        <v>-77.4</v>
      </c>
      <c r="H35" s="12">
        <f t="shared" si="1"/>
        <v>-0.0008097894547</v>
      </c>
    </row>
    <row r="36" ht="19.5" customHeight="1">
      <c r="B36" s="13">
        <v>26.0</v>
      </c>
      <c r="C36" s="13" t="s">
        <v>63</v>
      </c>
      <c r="D36" s="14">
        <v>1112.2</v>
      </c>
      <c r="E36" s="13" t="s">
        <v>64</v>
      </c>
      <c r="F36" s="14">
        <v>1110.2</v>
      </c>
      <c r="G36" s="15">
        <v>-172.0</v>
      </c>
      <c r="H36" s="16">
        <f t="shared" si="1"/>
        <v>-0.001798237727</v>
      </c>
    </row>
    <row r="37" ht="19.5" customHeight="1">
      <c r="B37" s="17">
        <v>27.0</v>
      </c>
      <c r="C37" s="17" t="s">
        <v>65</v>
      </c>
      <c r="D37" s="18">
        <v>1110.5</v>
      </c>
      <c r="E37" s="17" t="s">
        <v>66</v>
      </c>
      <c r="F37" s="18">
        <v>1140.1</v>
      </c>
      <c r="G37" s="19">
        <v>2545.6</v>
      </c>
      <c r="H37" s="20">
        <f t="shared" si="1"/>
        <v>0.02665466006</v>
      </c>
    </row>
    <row r="38" ht="19.5" customHeight="1">
      <c r="B38" s="13">
        <v>28.0</v>
      </c>
      <c r="C38" s="13" t="s">
        <v>67</v>
      </c>
      <c r="D38" s="14">
        <v>1139.5</v>
      </c>
      <c r="E38" s="13" t="s">
        <v>68</v>
      </c>
      <c r="F38" s="14">
        <v>1138.1</v>
      </c>
      <c r="G38" s="15">
        <v>-120.4</v>
      </c>
      <c r="H38" s="16">
        <f t="shared" si="1"/>
        <v>-0.001228609039</v>
      </c>
    </row>
    <row r="39" ht="19.5" customHeight="1">
      <c r="B39" s="9">
        <v>29.0</v>
      </c>
      <c r="C39" s="9" t="s">
        <v>69</v>
      </c>
      <c r="D39" s="10">
        <v>1140.2</v>
      </c>
      <c r="E39" s="9" t="s">
        <v>70</v>
      </c>
      <c r="F39" s="10">
        <v>1138.6</v>
      </c>
      <c r="G39" s="11">
        <v>-137.6</v>
      </c>
      <c r="H39" s="12">
        <f t="shared" si="1"/>
        <v>-0.001403262586</v>
      </c>
    </row>
    <row r="40" ht="19.5" customHeight="1">
      <c r="B40" s="21">
        <v>30.0</v>
      </c>
      <c r="C40" s="21" t="s">
        <v>71</v>
      </c>
      <c r="D40" s="22">
        <v>1138.8</v>
      </c>
      <c r="E40" s="21" t="s">
        <v>72</v>
      </c>
      <c r="F40" s="22">
        <v>1123.6</v>
      </c>
      <c r="G40" s="23">
        <v>-1307.2</v>
      </c>
      <c r="H40" s="24">
        <f t="shared" si="1"/>
        <v>-0.01334738321</v>
      </c>
    </row>
    <row r="41" ht="19.5" customHeight="1">
      <c r="B41" s="9">
        <v>31.0</v>
      </c>
      <c r="C41" s="9" t="s">
        <v>73</v>
      </c>
      <c r="D41" s="10">
        <v>1119.7</v>
      </c>
      <c r="E41" s="9" t="s">
        <v>74</v>
      </c>
      <c r="F41" s="10">
        <v>1116.4</v>
      </c>
      <c r="G41" s="11">
        <v>-283.8</v>
      </c>
      <c r="H41" s="12">
        <f t="shared" si="1"/>
        <v>-0.002947218005</v>
      </c>
    </row>
    <row r="42" ht="19.5" customHeight="1">
      <c r="B42" s="13">
        <v>32.0</v>
      </c>
      <c r="C42" s="13" t="s">
        <v>75</v>
      </c>
      <c r="D42" s="14">
        <v>1119.3</v>
      </c>
      <c r="E42" s="13" t="s">
        <v>76</v>
      </c>
      <c r="F42" s="14">
        <v>1122.3</v>
      </c>
      <c r="G42" s="15">
        <v>258.0</v>
      </c>
      <c r="H42" s="16">
        <f t="shared" si="1"/>
        <v>0.002680246583</v>
      </c>
    </row>
    <row r="43" ht="19.5" customHeight="1">
      <c r="B43" s="9">
        <v>33.0</v>
      </c>
      <c r="C43" s="9" t="s">
        <v>77</v>
      </c>
      <c r="D43" s="10">
        <v>1123.5</v>
      </c>
      <c r="E43" s="9" t="s">
        <v>78</v>
      </c>
      <c r="F43" s="10">
        <v>1141.8</v>
      </c>
      <c r="G43" s="11">
        <v>1573.8</v>
      </c>
      <c r="H43" s="12">
        <f t="shared" si="1"/>
        <v>0.01628838451</v>
      </c>
    </row>
    <row r="44" ht="19.5" customHeight="1">
      <c r="B44" s="13">
        <v>34.0</v>
      </c>
      <c r="C44" s="13" t="s">
        <v>79</v>
      </c>
      <c r="D44" s="14">
        <v>1144.9</v>
      </c>
      <c r="E44" s="13" t="s">
        <v>80</v>
      </c>
      <c r="F44" s="14">
        <v>1148.3</v>
      </c>
      <c r="G44" s="15">
        <v>292.4</v>
      </c>
      <c r="H44" s="16">
        <f t="shared" si="1"/>
        <v>0.002969691676</v>
      </c>
    </row>
    <row r="45" ht="19.5" customHeight="1">
      <c r="B45" s="9">
        <v>35.0</v>
      </c>
      <c r="C45" s="9" t="s">
        <v>81</v>
      </c>
      <c r="D45" s="10">
        <v>1151.0</v>
      </c>
      <c r="E45" s="9" t="s">
        <v>82</v>
      </c>
      <c r="F45" s="10">
        <v>1150.0</v>
      </c>
      <c r="G45" s="11">
        <v>-86.0</v>
      </c>
      <c r="H45" s="12">
        <f t="shared" si="1"/>
        <v>-0.0008688097307</v>
      </c>
    </row>
    <row r="46" ht="19.5" customHeight="1">
      <c r="B46" s="13">
        <v>36.0</v>
      </c>
      <c r="C46" s="13" t="s">
        <v>83</v>
      </c>
      <c r="D46" s="14">
        <v>1147.4</v>
      </c>
      <c r="E46" s="13" t="s">
        <v>84</v>
      </c>
      <c r="F46" s="14">
        <v>1133.0</v>
      </c>
      <c r="G46" s="15">
        <v>-1238.4</v>
      </c>
      <c r="H46" s="16">
        <f t="shared" si="1"/>
        <v>-0.0125501133</v>
      </c>
    </row>
    <row r="47" ht="19.5" customHeight="1">
      <c r="B47" s="9">
        <v>37.0</v>
      </c>
      <c r="C47" s="9" t="s">
        <v>85</v>
      </c>
      <c r="D47" s="10">
        <v>1139.6</v>
      </c>
      <c r="E47" s="9" t="s">
        <v>86</v>
      </c>
      <c r="F47" s="10">
        <v>1137.1</v>
      </c>
      <c r="G47" s="11">
        <v>-212.5</v>
      </c>
      <c r="H47" s="12">
        <f t="shared" si="1"/>
        <v>-0.002193752194</v>
      </c>
    </row>
    <row r="48" ht="19.5" customHeight="1">
      <c r="B48" s="13">
        <v>38.0</v>
      </c>
      <c r="C48" s="13" t="s">
        <v>87</v>
      </c>
      <c r="D48" s="14">
        <v>1141.6</v>
      </c>
      <c r="E48" s="13" t="s">
        <v>88</v>
      </c>
      <c r="F48" s="14">
        <v>1140.7</v>
      </c>
      <c r="G48" s="15">
        <v>-76.5</v>
      </c>
      <c r="H48" s="16">
        <f t="shared" si="1"/>
        <v>-0.0007883672039</v>
      </c>
    </row>
    <row r="49" ht="19.5" customHeight="1">
      <c r="B49" s="9">
        <v>39.0</v>
      </c>
      <c r="C49" s="9" t="s">
        <v>89</v>
      </c>
      <c r="D49" s="10">
        <v>1137.4</v>
      </c>
      <c r="E49" s="9" t="s">
        <v>90</v>
      </c>
      <c r="F49" s="10">
        <v>1135.0</v>
      </c>
      <c r="G49" s="11">
        <v>-204.0</v>
      </c>
      <c r="H49" s="12">
        <f t="shared" si="1"/>
        <v>-0.002110075611</v>
      </c>
    </row>
    <row r="50" ht="19.5" customHeight="1">
      <c r="B50" s="13">
        <v>40.0</v>
      </c>
      <c r="C50" s="13" t="s">
        <v>91</v>
      </c>
      <c r="D50" s="14">
        <v>1133.8</v>
      </c>
      <c r="E50" s="13" t="s">
        <v>92</v>
      </c>
      <c r="F50" s="14">
        <v>1132.7</v>
      </c>
      <c r="G50" s="15">
        <v>-93.5</v>
      </c>
      <c r="H50" s="16">
        <f t="shared" si="1"/>
        <v>-0.0009701887458</v>
      </c>
    </row>
    <row r="51" ht="19.5" customHeight="1">
      <c r="B51" s="9">
        <v>41.0</v>
      </c>
      <c r="C51" s="9" t="s">
        <v>93</v>
      </c>
      <c r="D51" s="10">
        <v>1133.9</v>
      </c>
      <c r="E51" s="9" t="s">
        <v>94</v>
      </c>
      <c r="F51" s="10">
        <v>1131.7</v>
      </c>
      <c r="G51" s="11">
        <v>-187.0</v>
      </c>
      <c r="H51" s="12">
        <f t="shared" si="1"/>
        <v>-0.001940206367</v>
      </c>
    </row>
    <row r="52" ht="19.5" customHeight="1">
      <c r="B52" s="13">
        <v>42.0</v>
      </c>
      <c r="C52" s="13" t="s">
        <v>95</v>
      </c>
      <c r="D52" s="14">
        <v>1134.3</v>
      </c>
      <c r="E52" s="13" t="s">
        <v>96</v>
      </c>
      <c r="F52" s="14">
        <v>1131.2</v>
      </c>
      <c r="G52" s="15">
        <v>-263.5</v>
      </c>
      <c r="H52" s="16">
        <f t="shared" si="1"/>
        <v>-0.002732963061</v>
      </c>
    </row>
    <row r="53" ht="19.5" customHeight="1">
      <c r="B53" s="9">
        <v>43.0</v>
      </c>
      <c r="C53" s="9" t="s">
        <v>97</v>
      </c>
      <c r="D53" s="10">
        <v>1133.6</v>
      </c>
      <c r="E53" s="9" t="s">
        <v>98</v>
      </c>
      <c r="F53" s="10">
        <v>1125.8</v>
      </c>
      <c r="G53" s="11">
        <v>-663.0</v>
      </c>
      <c r="H53" s="12">
        <f t="shared" si="1"/>
        <v>-0.006880733945</v>
      </c>
    </row>
    <row r="54" ht="19.5" customHeight="1">
      <c r="B54" s="13">
        <v>44.0</v>
      </c>
      <c r="C54" s="13" t="s">
        <v>99</v>
      </c>
      <c r="D54" s="14">
        <v>1128.9</v>
      </c>
      <c r="E54" s="13" t="s">
        <v>100</v>
      </c>
      <c r="F54" s="14">
        <v>1127.0</v>
      </c>
      <c r="G54" s="15">
        <v>-153.0</v>
      </c>
      <c r="H54" s="16">
        <f t="shared" si="1"/>
        <v>-0.001683054301</v>
      </c>
    </row>
    <row r="55" ht="19.5" customHeight="1">
      <c r="B55" s="9">
        <v>45.0</v>
      </c>
      <c r="C55" s="9" t="s">
        <v>101</v>
      </c>
      <c r="D55" s="10">
        <v>1129.1</v>
      </c>
      <c r="E55" s="9" t="s">
        <v>102</v>
      </c>
      <c r="F55" s="10">
        <v>1129.2</v>
      </c>
      <c r="G55" s="11">
        <v>8.4</v>
      </c>
      <c r="H55" s="12">
        <f t="shared" si="1"/>
        <v>0.0000885661146</v>
      </c>
    </row>
    <row r="56" ht="19.5" customHeight="1">
      <c r="B56" s="13">
        <v>46.0</v>
      </c>
      <c r="C56" s="13" t="s">
        <v>103</v>
      </c>
      <c r="D56" s="14">
        <v>1131.1</v>
      </c>
      <c r="E56" s="13" t="s">
        <v>104</v>
      </c>
      <c r="F56" s="14">
        <v>1131.2</v>
      </c>
      <c r="G56" s="15">
        <v>8.4</v>
      </c>
      <c r="H56" s="16">
        <f t="shared" si="1"/>
        <v>0.00008840951286</v>
      </c>
    </row>
    <row r="57" ht="19.5" customHeight="1">
      <c r="B57" s="9">
        <v>47.0</v>
      </c>
      <c r="C57" s="9" t="s">
        <v>105</v>
      </c>
      <c r="D57" s="10">
        <v>1132.0</v>
      </c>
      <c r="E57" s="9" t="s">
        <v>106</v>
      </c>
      <c r="F57" s="10">
        <v>1129.1</v>
      </c>
      <c r="G57" s="11">
        <v>-243.6</v>
      </c>
      <c r="H57" s="12">
        <f t="shared" si="1"/>
        <v>-0.002561837456</v>
      </c>
    </row>
    <row r="58" ht="24.0" customHeight="1">
      <c r="B58" s="25" t="s">
        <v>107</v>
      </c>
      <c r="C58" s="26"/>
      <c r="D58" s="26"/>
      <c r="E58" s="26"/>
      <c r="F58" s="27"/>
      <c r="G58" s="28">
        <f t="shared" ref="G58:H58" si="2">SUM(G11:G57)</f>
        <v>-4364.4</v>
      </c>
      <c r="H58" s="29">
        <f t="shared" si="2"/>
        <v>-0.04418469866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6:G6"/>
    <mergeCell ref="H6:I6"/>
    <mergeCell ref="B58:F58"/>
    <mergeCell ref="B5:C5"/>
    <mergeCell ref="D5:E5"/>
    <mergeCell ref="F5:G5"/>
    <mergeCell ref="H5:I5"/>
    <mergeCell ref="J5:K5"/>
    <mergeCell ref="B6:C6"/>
    <mergeCell ref="D6:E6"/>
    <mergeCell ref="J6:K6"/>
  </mergeCells>
  <printOptions/>
  <pageMargins bottom="1.0" footer="0.0" header="0.0" left="0.75" right="0.75" top="1.0"/>
  <pageSetup orientation="landscape"/>
  <drawing r:id="rId1"/>
</worksheet>
</file>